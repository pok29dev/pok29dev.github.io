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ใบเสนอราคา" sheetId="1" state="visible" r:id="rId1"/>
    <sheet name="วิธีใช้" sheetId="2" state="visible" r:id="rId2"/>
  </sheets>
  <definedNames>
    <definedName name="_xlnm.Print_Area" localSheetId="0">'ใบเสนอราคา'!$A$1:$M$36</definedName>
    <definedName name="_xlnm.Print_Area" localSheetId="1">'วิธีใช้'!$A$1:$B$11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&quot; บาท&quot;"/>
  </numFmts>
  <fonts count="15">
    <font>
      <name val="Calibri"/>
      <family val="2"/>
      <color theme="1"/>
      <sz val="11"/>
      <scheme val="minor"/>
    </font>
    <font>
      <name val="Sarabun"/>
      <color rgb="FFB4B4B4"/>
      <sz val="8"/>
    </font>
    <font>
      <name val="Sarabun"/>
      <color rgb="FFD9822B"/>
      <sz val="15"/>
    </font>
    <font>
      <name val="Sarabun"/>
      <b val="1"/>
      <color rgb="FF333333"/>
      <sz val="10"/>
    </font>
    <font>
      <name val="Sarabun"/>
      <color rgb="FF333333"/>
      <sz val="9.5"/>
    </font>
    <font>
      <name val="Sarabun"/>
      <color rgb="FFD9822B"/>
      <sz val="9"/>
    </font>
    <font>
      <name val="Sarabun"/>
      <b val="1"/>
      <color rgb="FF333333"/>
      <sz val="9.5"/>
    </font>
    <font>
      <name val="Sarabun"/>
      <color rgb="FF333333"/>
      <sz val="9"/>
    </font>
    <font>
      <name val="Sarabun"/>
      <color rgb="FF8A8A8A"/>
      <sz val="8.5"/>
    </font>
    <font>
      <name val="Sarabun"/>
      <b val="1"/>
      <color rgb="FFD9822B"/>
      <sz val="9"/>
    </font>
    <font>
      <name val="Sarabun"/>
      <i val="1"/>
      <color rgb="FF8A8A8A"/>
      <sz val="8"/>
    </font>
    <font>
      <name val="Sarabun"/>
      <color rgb="FF333333"/>
      <sz val="8.5"/>
    </font>
    <font>
      <name val="Sarabun"/>
      <b val="1"/>
      <color rgb="FFD9822B"/>
      <sz val="15"/>
    </font>
    <font>
      <name val="Sarabun"/>
      <b val="1"/>
      <sz val="10"/>
    </font>
    <font>
      <name val="Sarabun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hair">
        <color rgb="FFE8E8E8"/>
      </left>
      <right style="hair">
        <color rgb="FFE8E8E8"/>
      </right>
      <top style="hair">
        <color rgb="FFE8E8E8"/>
      </top>
      <bottom style="hair">
        <color rgb="FFE8E8E8"/>
      </bottom>
    </border>
    <border>
      <left/>
      <right/>
      <top style="thin">
        <color rgb="FFD5D5D5"/>
      </top>
      <bottom/>
    </border>
    <border>
      <left/>
      <right/>
      <top/>
      <bottom style="thin">
        <color rgb="FFD5D5D5"/>
      </bottom>
    </border>
    <border>
      <left/>
      <right/>
      <top style="thin">
        <color rgb="FFD5D5D5"/>
      </top>
      <bottom style="thin">
        <color rgb="FFD5D5D5"/>
      </bottom>
    </border>
    <border>
      <left/>
      <right/>
      <top style="thin">
        <color rgb="FFD5D5D5"/>
      </top>
      <bottom/>
      <diagonal/>
    </border>
    <border>
      <left/>
      <right/>
      <top style="thin">
        <color rgb="FFD5D5D5"/>
      </top>
      <bottom style="thin">
        <color rgb="FFD5D5D5"/>
      </bottom>
      <diagonal/>
    </border>
    <border>
      <left/>
      <right/>
      <top/>
      <bottom style="thin">
        <color rgb="FFD5D5D5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bottom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4" fillId="0" borderId="2" applyAlignment="1" pivotButton="0" quotePrefix="0" xfId="0">
      <alignment horizontal="left" vertical="center"/>
    </xf>
    <xf numFmtId="0" fontId="4" fillId="0" borderId="2" pivotButton="0" quotePrefix="0" xfId="0"/>
    <xf numFmtId="0" fontId="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0" fillId="0" borderId="4" pivotButton="0" quotePrefix="0" xfId="0"/>
    <xf numFmtId="0" fontId="7" fillId="0" borderId="4" applyAlignment="1" pivotButton="0" quotePrefix="0" xfId="0">
      <alignment horizontal="center" vertical="center"/>
    </xf>
    <xf numFmtId="0" fontId="7" fillId="0" borderId="6" pivotButton="0" quotePrefix="0" xfId="0"/>
    <xf numFmtId="0" fontId="7" fillId="0" borderId="4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0" fontId="8" fillId="0" borderId="3" applyAlignment="1" pivotButton="0" quotePrefix="0" xfId="0">
      <alignment horizontal="right" vertical="center"/>
    </xf>
    <xf numFmtId="0" fontId="4" fillId="0" borderId="3" applyAlignment="1" pivotButton="0" quotePrefix="0" xfId="0">
      <alignment horizontal="left" vertical="center" wrapText="1" indent="1"/>
    </xf>
    <xf numFmtId="0" fontId="4" fillId="0" borderId="7" pivotButton="0" quotePrefix="0" xfId="0"/>
    <xf numFmtId="0" fontId="4" fillId="0" borderId="3" applyAlignment="1" pivotButton="0" quotePrefix="0" xfId="0">
      <alignment horizontal="right" vertical="center"/>
    </xf>
    <xf numFmtId="4" fontId="4" fillId="0" borderId="3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 indent="3"/>
    </xf>
    <xf numFmtId="0" fontId="5" fillId="0" borderId="0" pivotButton="0" quotePrefix="0" xfId="0"/>
    <xf numFmtId="166" fontId="4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0" fontId="10" fillId="0" borderId="0" pivotButton="0" quotePrefix="0" xfId="0"/>
    <xf numFmtId="0" fontId="9" fillId="0" borderId="0" applyAlignment="1" pivotButton="0" quotePrefix="0" xfId="0">
      <alignment horizontal="right" vertical="center"/>
    </xf>
    <xf numFmtId="0" fontId="9" fillId="0" borderId="0" pivotButton="0" quotePrefix="0" xfId="0"/>
    <xf numFmtId="166" fontId="6" fillId="0" borderId="0" applyAlignment="1" pivotButton="0" quotePrefix="0" xfId="0">
      <alignment horizontal="right" vertical="center"/>
    </xf>
    <xf numFmtId="0" fontId="5" fillId="0" borderId="2" applyAlignment="1" pivotButton="0" quotePrefix="0" xfId="0">
      <alignment horizontal="right" vertical="center" indent="3"/>
    </xf>
    <xf numFmtId="0" fontId="5" fillId="0" borderId="2" pivotButton="0" quotePrefix="0" xfId="0"/>
    <xf numFmtId="166" fontId="4" fillId="0" borderId="2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left" vertical="bottom" indent="2"/>
    </xf>
    <xf numFmtId="0" fontId="11" fillId="0" borderId="0" applyAlignment="1" pivotButton="0" quotePrefix="0" xfId="0">
      <alignment horizontal="center" vertical="center"/>
    </xf>
    <xf numFmtId="0" fontId="11" fillId="0" borderId="0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vertical="top"/>
    </xf>
    <xf numFmtId="0" fontId="1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342000</colOff>
      <row>0</row>
      <rowOff>0</rowOff>
    </from>
    <ext cx="648000" cy="57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5"/>
  <sheetViews>
    <sheetView showGridLines="0" workbookViewId="0">
      <selection activeCell="A1" sqref="A1"/>
    </sheetView>
  </sheetViews>
  <sheetFormatPr baseColWidth="8" defaultRowHeight="15"/>
  <cols>
    <col width="5.764904386951632" customWidth="1" min="1" max="1"/>
    <col width="6.844769403824523" customWidth="1" min="2" max="2"/>
    <col width="9.004499437570304" customWidth="1" min="3" max="3"/>
    <col width="9.004499437570304" customWidth="1" min="4" max="4"/>
    <col width="9.004499437570304" customWidth="1" min="5" max="5"/>
    <col width="9.004499437570304" customWidth="1" min="6" max="6"/>
    <col width="5.764904386951632" customWidth="1" min="7" max="7"/>
    <col width="4.685039370078741" customWidth="1" min="8" max="8"/>
    <col width="3.60517435320585" customWidth="1" min="9" max="9"/>
    <col width="5.764904386951632" customWidth="1" min="10" max="10"/>
    <col width="8.734533183352083" customWidth="1" min="11" max="11"/>
    <col width="6.034870641169854" customWidth="1" min="12" max="12"/>
    <col width="7.384701912260968" customWidth="1" min="13" max="13"/>
  </cols>
  <sheetData>
    <row r="1" ht="11.338582676" customHeight="1">
      <c r="A1" s="1" t="inlineStr">
        <is>
          <t>วางโลโก้บริษัท</t>
        </is>
      </c>
      <c r="B1" s="2" t="n"/>
      <c r="C1" s="2" t="n"/>
    </row>
    <row r="2" ht="17.007874014" customHeight="1">
      <c r="A2" s="2" t="n"/>
      <c r="B2" s="2" t="n"/>
      <c r="C2" s="2" t="n"/>
    </row>
    <row r="3" ht="8.503937006999999" customHeight="1">
      <c r="A3" s="2" t="n"/>
      <c r="B3" s="2" t="n"/>
      <c r="C3" s="2" t="n"/>
      <c r="I3" s="3" t="inlineStr">
        <is>
          <t>ใบเสนอราคา</t>
        </is>
      </c>
    </row>
    <row r="4" ht="8.503937006999999" customHeight="1">
      <c r="A4" s="4" t="inlineStr">
        <is>
          <t>บริษัท ตัวอย่าง จำกัด (สำนักงานใหญ่)</t>
        </is>
      </c>
      <c r="B4" s="5" t="n"/>
      <c r="C4" s="5" t="n"/>
      <c r="D4" s="5" t="n"/>
    </row>
    <row r="5" ht="14.173228345" customHeight="1">
      <c r="A5" s="6" t="inlineStr">
        <is>
          <t>141 ชั้น 11 ยูนิต 12B อาคารชุดสกุลไทย สุรวงศ์ ทาวเวอร์</t>
        </is>
      </c>
      <c r="B5" s="7" t="n"/>
      <c r="C5" s="7" t="n"/>
      <c r="D5" s="7" t="n"/>
      <c r="E5" s="7" t="n"/>
      <c r="F5" s="7" t="n"/>
      <c r="G5" s="8" t="inlineStr">
        <is>
          <t>เลขที่</t>
        </is>
      </c>
      <c r="H5" s="9" t="n"/>
      <c r="I5" s="9" t="n"/>
      <c r="J5" s="10" t="inlineStr">
        <is>
          <t>QT2021110006</t>
        </is>
      </c>
      <c r="K5" s="11" t="n"/>
      <c r="L5" s="11" t="n"/>
      <c r="M5" s="11" t="n"/>
    </row>
    <row r="6" ht="12.7559055105" customHeight="1">
      <c r="A6" s="6" t="inlineStr">
        <is>
          <t>ถนนสุรวงศ์ แขวงสุริยวงศ์ เขตบางรัก กรุงเทพมหานคร 10500</t>
        </is>
      </c>
      <c r="B6" s="7" t="n"/>
      <c r="C6" s="7" t="n"/>
      <c r="D6" s="7" t="n"/>
      <c r="E6" s="7" t="n"/>
      <c r="F6" s="7" t="n"/>
      <c r="G6" s="12" t="inlineStr">
        <is>
          <t>วันที่</t>
        </is>
      </c>
      <c r="J6" s="13" t="n">
        <v>46315</v>
      </c>
      <c r="K6" s="7" t="n"/>
      <c r="L6" s="7" t="n"/>
      <c r="M6" s="7" t="n"/>
    </row>
    <row r="7" ht="12.7559055105" customHeight="1">
      <c r="A7" s="6" t="inlineStr">
        <is>
          <t>เลขประจำตัวผู้เสียภาษี 0105558096348</t>
        </is>
      </c>
      <c r="B7" s="7" t="n"/>
      <c r="C7" s="7" t="n"/>
      <c r="D7" s="7" t="n"/>
      <c r="E7" s="7" t="n"/>
      <c r="G7" s="12" t="inlineStr">
        <is>
          <t>เครดิต</t>
        </is>
      </c>
      <c r="J7" s="6" t="inlineStr">
        <is>
          <t>30 วัน</t>
        </is>
      </c>
      <c r="K7" s="7" t="n"/>
      <c r="L7" s="7" t="n"/>
      <c r="M7" s="7" t="n"/>
    </row>
    <row r="8" ht="14.173228345" customHeight="1">
      <c r="A8" s="6" t="inlineStr">
        <is>
          <t>เบอร์มือถือ 099-999-9999</t>
        </is>
      </c>
      <c r="B8" s="7" t="n"/>
      <c r="C8" s="7" t="n"/>
      <c r="D8" s="7" t="n"/>
      <c r="E8" s="7" t="n"/>
      <c r="G8" s="12" t="inlineStr">
        <is>
          <t>ผู้ขาย</t>
        </is>
      </c>
      <c r="J8" s="6" t="inlineStr">
        <is>
          <t>สมชาย ใจดี</t>
        </is>
      </c>
      <c r="K8" s="7" t="n"/>
      <c r="L8" s="7" t="n"/>
      <c r="M8" s="7" t="n"/>
    </row>
    <row r="9" ht="13.6062992112" customHeight="1">
      <c r="A9" s="6" t="inlineStr">
        <is>
          <t>อีเมล contact@example.com</t>
        </is>
      </c>
      <c r="B9" s="7" t="n"/>
      <c r="C9" s="7" t="n"/>
      <c r="D9" s="7" t="n"/>
      <c r="E9" s="7" t="n"/>
      <c r="G9" s="14" t="n"/>
      <c r="H9" s="14" t="n"/>
      <c r="I9" s="14" t="n"/>
      <c r="J9" s="14" t="n"/>
      <c r="K9" s="14" t="n"/>
      <c r="L9" s="14" t="n"/>
      <c r="M9" s="14" t="n"/>
    </row>
    <row r="10" ht="13.3228346443" customHeight="1">
      <c r="G10" s="12" t="inlineStr">
        <is>
          <t>ชื่องาน</t>
        </is>
      </c>
      <c r="J10" s="6" t="inlineStr">
        <is>
          <t>Page Facebook - Japan Coffee</t>
        </is>
      </c>
      <c r="K10" s="7" t="n"/>
      <c r="L10" s="7" t="n"/>
      <c r="M10" s="7" t="n"/>
    </row>
    <row r="11" ht="12.7559055105" customHeight="1">
      <c r="A11" s="12" t="inlineStr">
        <is>
          <t>ลูกค้า</t>
        </is>
      </c>
      <c r="G11" s="12" t="inlineStr">
        <is>
          <t>ผู้ติดต่อ</t>
        </is>
      </c>
      <c r="J11" s="6" t="inlineStr">
        <is>
          <t>คุณสมคิด เป็นงาน</t>
        </is>
      </c>
      <c r="K11" s="7" t="n"/>
      <c r="L11" s="7" t="n"/>
      <c r="M11" s="7" t="n"/>
    </row>
    <row r="12" ht="12.7559055105" customHeight="1">
      <c r="A12" s="15" t="inlineStr">
        <is>
          <t>บริษัท ลูกค้าตัวอย่าง จำกัด (สำนักงานใหญ่)</t>
        </is>
      </c>
      <c r="B12" s="16" t="n"/>
      <c r="C12" s="16" t="n"/>
      <c r="D12" s="16" t="n"/>
      <c r="E12" s="16" t="n"/>
      <c r="F12" s="16" t="n"/>
      <c r="G12" s="12" t="inlineStr">
        <is>
          <t>เบอร์โทร</t>
        </is>
      </c>
      <c r="J12" s="6" t="inlineStr">
        <is>
          <t>099-999-9999</t>
        </is>
      </c>
      <c r="K12" s="7" t="n"/>
      <c r="L12" s="7" t="n"/>
      <c r="M12" s="7" t="n"/>
    </row>
    <row r="13" ht="12.7559055105" customHeight="1">
      <c r="A13" s="6" t="inlineStr">
        <is>
          <t>141/12 ชั้น 11 ยูนิต 12B อาคารชุดสกุลไทย สุรวงศ์ ทาวเวอร์</t>
        </is>
      </c>
      <c r="B13" s="7" t="n"/>
      <c r="C13" s="7" t="n"/>
      <c r="D13" s="7" t="n"/>
      <c r="E13" s="7" t="n"/>
      <c r="F13" s="7" t="n"/>
      <c r="G13" s="12" t="inlineStr">
        <is>
          <t>อีเมล</t>
        </is>
      </c>
      <c r="J13" s="6" t="inlineStr">
        <is>
          <t>somkit@example.com</t>
        </is>
      </c>
      <c r="K13" s="7" t="n"/>
      <c r="L13" s="7" t="n"/>
      <c r="M13" s="7" t="n"/>
    </row>
    <row r="14" ht="14.173228345" customHeight="1">
      <c r="A14" s="6" t="inlineStr">
        <is>
          <t>ถนนสุรวงศ์ แขวงสุริยวงศ์ เขตบางรัก กรุงเทพมหานคร 10500</t>
        </is>
      </c>
      <c r="B14" s="7" t="n"/>
      <c r="C14" s="7" t="n"/>
      <c r="D14" s="7" t="n"/>
      <c r="E14" s="7" t="n"/>
      <c r="F14" s="7" t="n"/>
    </row>
    <row r="15" ht="14.173228345" customHeight="1">
      <c r="A15" s="6" t="inlineStr">
        <is>
          <t>เลขประจำตัวผู้เสียภาษี 0105558096348</t>
        </is>
      </c>
      <c r="B15" s="7" t="n"/>
      <c r="C15" s="7" t="n"/>
      <c r="D15" s="7" t="n"/>
      <c r="E15" s="7" t="n"/>
    </row>
    <row r="16" ht="10.4881889753" customHeight="1"/>
    <row r="17" ht="18.4251968485" customHeight="1">
      <c r="A17" s="17" t="n"/>
      <c r="B17" s="18" t="inlineStr">
        <is>
          <t>รายละเอียด</t>
        </is>
      </c>
      <c r="C17" s="19" t="n"/>
      <c r="D17" s="19" t="n"/>
      <c r="E17" s="19" t="n"/>
      <c r="F17" s="19" t="n"/>
      <c r="G17" s="19" t="n"/>
      <c r="H17" s="20" t="inlineStr">
        <is>
          <t>จำนวน</t>
        </is>
      </c>
      <c r="I17" s="20" t="inlineStr">
        <is>
          <t>ราคาต่อหน่วย</t>
        </is>
      </c>
      <c r="J17" s="19" t="n"/>
      <c r="K17" s="19" t="n"/>
      <c r="L17" s="20" t="inlineStr">
        <is>
          <t>ยอดรวม</t>
        </is>
      </c>
      <c r="M17" s="19" t="n"/>
    </row>
    <row r="18" ht="31.7480314928" customHeight="1">
      <c r="A18" s="21" t="n">
        <v>1</v>
      </c>
      <c r="B18" s="22" t="inlineStr">
        <is>
          <t>Facebook post and photo album
Post promote Japan Coffee</t>
        </is>
      </c>
      <c r="C18" s="7" t="n"/>
      <c r="D18" s="7" t="n"/>
      <c r="E18" s="7" t="n"/>
      <c r="F18" s="7" t="n"/>
      <c r="G18" s="7" t="n"/>
      <c r="H18" s="23" t="n">
        <v>10</v>
      </c>
      <c r="I18" s="24" t="n">
        <v>2000</v>
      </c>
      <c r="J18" s="7" t="n"/>
      <c r="K18" s="7" t="n"/>
      <c r="L18" s="24">
        <f>IF(OR($H18="",$I18=""),"",ROUND($H18*$I18,2))</f>
        <v/>
      </c>
      <c r="M18" s="7" t="n"/>
    </row>
    <row r="19" ht="22.677165352" customHeight="1">
      <c r="A19" s="21" t="n">
        <v>2</v>
      </c>
      <c r="B19" s="22" t="n"/>
      <c r="C19" s="7" t="n"/>
      <c r="D19" s="7" t="n"/>
      <c r="E19" s="7" t="n"/>
      <c r="F19" s="7" t="n"/>
      <c r="G19" s="7" t="n"/>
      <c r="H19" s="23" t="n"/>
      <c r="I19" s="24" t="n"/>
      <c r="J19" s="7" t="n"/>
      <c r="K19" s="7" t="n"/>
      <c r="L19" s="24">
        <f>IF(OR($H19="",$I19=""),"",ROUND($H19*$I19,2))</f>
        <v/>
      </c>
      <c r="M19" s="7" t="n"/>
    </row>
    <row r="20" ht="22.677165352" customHeight="1">
      <c r="A20" s="21" t="n">
        <v>3</v>
      </c>
      <c r="B20" s="22" t="n"/>
      <c r="C20" s="7" t="n"/>
      <c r="D20" s="7" t="n"/>
      <c r="E20" s="7" t="n"/>
      <c r="F20" s="7" t="n"/>
      <c r="G20" s="7" t="n"/>
      <c r="H20" s="23" t="n"/>
      <c r="I20" s="24" t="n"/>
      <c r="J20" s="7" t="n"/>
      <c r="K20" s="7" t="n"/>
      <c r="L20" s="24">
        <f>IF(OR($H20="",$I20=""),"",ROUND($H20*$I20,2))</f>
        <v/>
      </c>
      <c r="M20" s="7" t="n"/>
    </row>
    <row r="21" ht="22.677165352" customHeight="1">
      <c r="A21" s="21" t="n">
        <v>4</v>
      </c>
      <c r="B21" s="22" t="n"/>
      <c r="C21" s="7" t="n"/>
      <c r="D21" s="7" t="n"/>
      <c r="E21" s="7" t="n"/>
      <c r="F21" s="7" t="n"/>
      <c r="G21" s="7" t="n"/>
      <c r="H21" s="23" t="n"/>
      <c r="I21" s="24" t="n"/>
      <c r="J21" s="7" t="n"/>
      <c r="K21" s="7" t="n"/>
      <c r="L21" s="24">
        <f>IF(OR($H21="",$I21=""),"",ROUND($H21*$I21,2))</f>
        <v/>
      </c>
      <c r="M21" s="7" t="n"/>
    </row>
    <row r="22" ht="22.677165352" customHeight="1">
      <c r="A22" s="25" t="n">
        <v>5</v>
      </c>
      <c r="B22" s="26" t="n"/>
      <c r="C22" s="27" t="n"/>
      <c r="D22" s="27" t="n"/>
      <c r="E22" s="27" t="n"/>
      <c r="F22" s="27" t="n"/>
      <c r="G22" s="27" t="n"/>
      <c r="H22" s="28" t="n"/>
      <c r="I22" s="29" t="n"/>
      <c r="J22" s="27" t="n"/>
      <c r="K22" s="27" t="n"/>
      <c r="L22" s="29">
        <f>IF(OR($H22="",$I22=""),"",ROUND($H22*$I22,2))</f>
        <v/>
      </c>
      <c r="M22" s="27" t="n"/>
    </row>
    <row r="23" ht="17.007874014" customHeight="1">
      <c r="G23" s="30" t="inlineStr">
        <is>
          <t>รวมเป็นเงิน</t>
        </is>
      </c>
      <c r="H23" s="31" t="n"/>
      <c r="I23" s="31" t="n"/>
      <c r="J23" s="31" t="n"/>
      <c r="K23" s="31" t="n"/>
      <c r="L23" s="32">
        <f>SUM($L$18:$L$22)</f>
        <v/>
      </c>
      <c r="M23" s="7" t="n"/>
    </row>
    <row r="24" ht="15.5905511795" customHeight="1">
      <c r="G24" s="30" t="inlineStr">
        <is>
          <t>ภาษีมูลค่าเพิ่ม 7%</t>
        </is>
      </c>
      <c r="H24" s="31" t="n"/>
      <c r="I24" s="31" t="n"/>
      <c r="J24" s="31" t="n"/>
      <c r="K24" s="31" t="n"/>
      <c r="L24" s="32">
        <f>ROUND($L$23*0.07,2)</f>
        <v/>
      </c>
      <c r="M24" s="7" t="n"/>
    </row>
    <row r="25" ht="17.007874014" customHeight="1">
      <c r="A25" s="33" t="inlineStr">
        <is>
          <t>(สองหมื่นหนึ่งพันสี่ร้อยบาทถ้วน)</t>
        </is>
      </c>
      <c r="B25" s="34" t="n"/>
      <c r="C25" s="34" t="n"/>
      <c r="D25" s="34" t="n"/>
      <c r="E25" s="34" t="n"/>
      <c r="F25" s="34" t="n"/>
      <c r="G25" s="35" t="inlineStr">
        <is>
          <t>จำนวนเงินรวมทั้งสิ้น</t>
        </is>
      </c>
      <c r="H25" s="36" t="n"/>
      <c r="I25" s="36" t="n"/>
      <c r="J25" s="36" t="n"/>
      <c r="K25" s="36" t="n"/>
      <c r="L25" s="37">
        <f>$L$23+$L$24</f>
        <v/>
      </c>
      <c r="M25" s="16" t="n"/>
    </row>
    <row r="26" ht="22.677165352" customHeight="1">
      <c r="G26" s="38" t="inlineStr">
        <is>
          <t>หักภาษี ณ ที่จ่าย 3%</t>
        </is>
      </c>
      <c r="H26" s="39" t="n"/>
      <c r="I26" s="39" t="n"/>
      <c r="J26" s="39" t="n"/>
      <c r="K26" s="39" t="n"/>
      <c r="L26" s="40">
        <f>ROUND($L$23*0.03,2)</f>
        <v/>
      </c>
      <c r="M26" s="11" t="n"/>
    </row>
    <row r="27" ht="18.4251968485" customHeight="1">
      <c r="G27" s="35" t="inlineStr">
        <is>
          <t>ยอดชำระ</t>
        </is>
      </c>
      <c r="H27" s="36" t="n"/>
      <c r="I27" s="36" t="n"/>
      <c r="J27" s="36" t="n"/>
      <c r="K27" s="36" t="n"/>
      <c r="L27" s="37">
        <f>$L$25-$L$26</f>
        <v/>
      </c>
      <c r="M27" s="16" t="n"/>
    </row>
    <row r="28" ht="38.5511810984" customHeight="1"/>
    <row r="29" ht="14.173228345" customHeight="1">
      <c r="A29" s="12" t="inlineStr">
        <is>
          <t>หมายเหตุ</t>
        </is>
      </c>
    </row>
    <row r="30" ht="14.173228345" customHeight="1">
      <c r="A30" s="6" t="inlineStr">
        <is>
          <t>- สามารถแก้ไขงานได้ 2 ครั้ง</t>
        </is>
      </c>
      <c r="B30" s="7" t="n"/>
      <c r="C30" s="7" t="n"/>
      <c r="D30" s="7" t="n"/>
      <c r="E30" s="7" t="n"/>
      <c r="F30" s="7" t="n"/>
    </row>
    <row r="31" ht="14.173228345" customHeight="1">
      <c r="A31" s="6" t="inlineStr">
        <is>
          <t>- ส่งงานให้ล่วงหน้าก่อนโพสต์ 1 สัปดาห์</t>
        </is>
      </c>
      <c r="B31" s="7" t="n"/>
      <c r="C31" s="7" t="n"/>
      <c r="D31" s="7" t="n"/>
      <c r="E31" s="7" t="n"/>
      <c r="F31" s="7" t="n"/>
    </row>
    <row r="32" ht="147.401574788" customHeight="1"/>
    <row r="33" ht="17.007874014" customHeight="1">
      <c r="A33" s="41" t="inlineStr">
        <is>
          <t>ในนาม บริษัท ลูกค้าตัวอย่าง จำกัด (สำนักงานใหญ่)</t>
        </is>
      </c>
      <c r="B33" s="7" t="n"/>
      <c r="C33" s="7" t="n"/>
      <c r="D33" s="7" t="n"/>
      <c r="E33" s="7" t="n"/>
      <c r="H33" s="42" t="inlineStr">
        <is>
          <t>ในนาม บริษัท ตัวอย่าง จำกัด (สำนักงานใหญ่)</t>
        </is>
      </c>
      <c r="I33" s="7" t="n"/>
      <c r="J33" s="7" t="n"/>
      <c r="K33" s="7" t="n"/>
      <c r="L33" s="7" t="n"/>
      <c r="M33" s="7" t="n"/>
    </row>
    <row r="34" ht="51.3070866089" customHeight="1">
      <c r="A34" s="14" t="n"/>
      <c r="B34" s="14" t="n"/>
      <c r="C34" s="14" t="n"/>
      <c r="D34" s="14" t="n"/>
      <c r="E34" s="14" t="n"/>
      <c r="H34" s="14" t="n"/>
      <c r="I34" s="14" t="n"/>
      <c r="J34" s="14" t="n"/>
      <c r="K34" s="14" t="n"/>
      <c r="L34" s="14" t="n"/>
      <c r="M34" s="14" t="n"/>
    </row>
    <row r="35" ht="13.8897637781" customHeight="1">
      <c r="A35" s="43" t="inlineStr">
        <is>
          <t>ผู้สั่งซื้อสินค้า</t>
        </is>
      </c>
      <c r="B35" s="44" t="n"/>
      <c r="C35" s="44" t="n"/>
      <c r="D35" s="43" t="inlineStr">
        <is>
          <t>วันที่</t>
        </is>
      </c>
      <c r="E35" s="44" t="n"/>
      <c r="H35" s="43" t="inlineStr">
        <is>
          <t>ผู้อนุมัติ</t>
        </is>
      </c>
      <c r="I35" s="44" t="n"/>
      <c r="J35" s="44" t="n"/>
      <c r="K35" s="44" t="n"/>
      <c r="L35" s="43" t="inlineStr">
        <is>
          <t>วันที่</t>
        </is>
      </c>
      <c r="M35" s="44" t="n"/>
    </row>
    <row r="36" ht="14.173228345" customHeight="1"/>
  </sheetData>
  <mergeCells count="57">
    <mergeCell ref="L17:M17"/>
    <mergeCell ref="I22:K22"/>
    <mergeCell ref="A15:E15"/>
    <mergeCell ref="A4:D4"/>
    <mergeCell ref="B17:G17"/>
    <mergeCell ref="J12:M12"/>
    <mergeCell ref="G27:K27"/>
    <mergeCell ref="A12:F12"/>
    <mergeCell ref="I18:K18"/>
    <mergeCell ref="L19:M19"/>
    <mergeCell ref="I3:K3"/>
    <mergeCell ref="I21:K21"/>
    <mergeCell ref="G23:K23"/>
    <mergeCell ref="B19:G19"/>
    <mergeCell ref="A14:F14"/>
    <mergeCell ref="D35:E35"/>
    <mergeCell ref="A7:E7"/>
    <mergeCell ref="A5:F5"/>
    <mergeCell ref="J8:M8"/>
    <mergeCell ref="L24:M24"/>
    <mergeCell ref="H35:K35"/>
    <mergeCell ref="L18:M18"/>
    <mergeCell ref="I17:K17"/>
    <mergeCell ref="L23:M23"/>
    <mergeCell ref="I20:K20"/>
    <mergeCell ref="A35:C35"/>
    <mergeCell ref="J5:M5"/>
    <mergeCell ref="J10:M10"/>
    <mergeCell ref="I19:K19"/>
    <mergeCell ref="B20:G20"/>
    <mergeCell ref="B21:G21"/>
    <mergeCell ref="J13:M13"/>
    <mergeCell ref="L26:M26"/>
    <mergeCell ref="H33:M33"/>
    <mergeCell ref="L35:M35"/>
    <mergeCell ref="A13:F13"/>
    <mergeCell ref="L20:M20"/>
    <mergeCell ref="G24:K24"/>
    <mergeCell ref="A33:E33"/>
    <mergeCell ref="A31:F31"/>
    <mergeCell ref="L25:M25"/>
    <mergeCell ref="J6:M6"/>
    <mergeCell ref="A8:E8"/>
    <mergeCell ref="A30:F30"/>
    <mergeCell ref="L22:M22"/>
    <mergeCell ref="G26:K26"/>
    <mergeCell ref="L21:M21"/>
    <mergeCell ref="B22:G22"/>
    <mergeCell ref="A1:C3"/>
    <mergeCell ref="J11:M11"/>
    <mergeCell ref="G25:K25"/>
    <mergeCell ref="A6:F6"/>
    <mergeCell ref="L27:M27"/>
    <mergeCell ref="B18:G18"/>
    <mergeCell ref="J7:M7"/>
    <mergeCell ref="A9:E9"/>
    <mergeCell ref="A25:F25"/>
  </mergeCells>
  <printOptions horizontalCentered="1"/>
  <pageMargins left="0.4921259842519685" right="0.4921259842519685" top="0.3149606299212598" bottom="0.3937007874015748" header="0" footer="0"/>
  <pageSetup orientation="portrait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8" customWidth="1" min="2" max="2"/>
  </cols>
  <sheetData>
    <row r="1">
      <c r="A1" s="45" t="inlineStr">
        <is>
          <t>วิธีใช้เทมเพลตใบเสนอราคา</t>
        </is>
      </c>
    </row>
    <row r="3" ht="32" customHeight="1">
      <c r="A3" s="46" t="inlineStr">
        <is>
          <t>กรอกข้อมูล</t>
        </is>
      </c>
      <c r="B3" s="47" t="inlineStr">
        <is>
          <t>แก้ข้อความในชีต “ใบเสนอราคา” ได้โดยตรง — ทุกช่องเป็นข้อความปกติ ยกเว้นช่องตัวเลขที่คำนวณอัตโนมัติ</t>
        </is>
      </c>
    </row>
    <row r="4" ht="32" customHeight="1">
      <c r="A4" s="46" t="inlineStr">
        <is>
          <t>โลโก้</t>
        </is>
      </c>
      <c r="B4" s="47" t="inlineStr">
        <is>
          <t>กรอบ “วางโลโก้บริษัท” มุมซ้ายบนเป็นที่ว่างสำหรับโลโก้ — แทรกภาพทับแล้วลบข้อความตัวอย่างออก</t>
        </is>
      </c>
    </row>
    <row r="5" ht="32" customHeight="1">
      <c r="A5" s="46" t="inlineStr">
        <is>
          <t>เพิ่ม/ลบรายการ</t>
        </is>
      </c>
      <c r="B5" s="47" t="inlineStr">
        <is>
          <t>ตารางมี 5 แถว (แถว 18–22) — แทรกแถวใหม่ภายในช่วงนี้ แล้วแก้ช่วง SUM ให้ครอบคลุมแถวที่เพิ่ม</t>
        </is>
      </c>
    </row>
    <row r="6" ht="32" customHeight="1">
      <c r="A6" s="46" t="inlineStr">
        <is>
          <t>สูตรที่ใช้</t>
        </is>
      </c>
      <c r="B6" s="47" t="inlineStr">
        <is>
          <t>L18:L22 = จำนวน × ราคาต่อหน่วย · L23 = SUM · L24 = VAT 7% · L25 = รวมทั้งสิ้น · L26 = หัก ณ ที่จ่าย 3% · L27 = ยอดชำระ</t>
        </is>
      </c>
    </row>
    <row r="7" ht="32" customHeight="1">
      <c r="A7" s="46" t="inlineStr">
        <is>
          <t>เปลี่ยนอัตราภาษี</t>
        </is>
      </c>
      <c r="B7" s="47" t="inlineStr">
        <is>
          <t>แก้ 0.07 ในสูตรช่อง L24 และแก้ข้อความ “7%” ในป้ายชื่อ · อัตราหัก ณ ที่จ่ายแก้ 0.03 ในช่อง L26 และข้อความ “3%”</t>
        </is>
      </c>
    </row>
    <row r="8" ht="32" customHeight="1">
      <c r="A8" s="46" t="inlineStr">
        <is>
          <t>จำนวนเงินเป็นตัวอักษร</t>
        </is>
      </c>
      <c r="B8" s="47" t="inlineStr">
        <is>
          <t>“(สองหมื่นหนึ่งพันสี่ร้อยบาทถ้วน)” เป็นข้อความคงที่ — ต้องพิมพ์ใหม่เมื่อยอดเปลี่ยน (Excel ภาษาไทยใช้ =BAHTTEXT(L25))</t>
        </is>
      </c>
    </row>
    <row r="9" ht="32" customHeight="1">
      <c r="A9" s="46" t="inlineStr">
        <is>
          <t>การพิมพ์</t>
        </is>
      </c>
      <c r="B9" s="47" t="inlineStr">
        <is>
          <t>ตั้งค่าไว้แล้ว A4 แนวตั้ง ระยะขอบ 12.5 มม. พอดี 1 หน้า ซ่อนเส้นตาราง พื้นที่พิมพ์ A1:M36</t>
        </is>
      </c>
    </row>
    <row r="10" ht="32" customHeight="1">
      <c r="A10" s="46" t="inlineStr">
        <is>
          <t>สีและฟอนต์</t>
        </is>
      </c>
      <c r="B10" s="47" t="inlineStr">
        <is>
          <t>ส้ม #D9822B (หัวเรื่อง/ป้ายชื่อ) · เทาเข้ม #333333 (เนื้อหา) · เส้นคั่น #D5D5D5 · ฟอนต์ Sarabun</t>
        </is>
      </c>
    </row>
    <row r="11" ht="32" customHeight="1">
      <c r="A11" s="46" t="inlineStr">
        <is>
          <t>สามเหลี่ยมมุมขวาบน</t>
        </is>
      </c>
      <c r="B11" s="47" t="inlineStr">
        <is>
          <t>เป็นภาพตกแต่ง (ไม่ใช่เซลล์) — คลิกเลือกแล้วกด Delete ได้ถ้าไม่ต้องการ</t>
        </is>
      </c>
    </row>
  </sheetData>
  <pageMargins left="0.5" right="0.5" top="0.5" bottom="0.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thClaws</dc:creator>
  <dc:title>ใบเสนอราคา / Quotation Template</dc:title>
  <dcterms:created xsi:type="dcterms:W3CDTF">2026-10-20T09:13:35Z</dcterms:created>
  <dcterms:modified xsi:type="dcterms:W3CDTF">2026-10-20T09:13:35Z</dcterms:modified>
</cp:coreProperties>
</file>